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ushmaurya/Downloads/"/>
    </mc:Choice>
  </mc:AlternateContent>
  <xr:revisionPtr revIDLastSave="0" documentId="13_ncr:1_{F34B6460-80DC-094D-B7AE-2B214C6396BA}" xr6:coauthVersionLast="47" xr6:coauthVersionMax="47" xr10:uidLastSave="{00000000-0000-0000-0000-000000000000}"/>
  <bookViews>
    <workbookView xWindow="0" yWindow="660" windowWidth="29400" windowHeight="18460" xr2:uid="{3E7DF458-7F1A-4647-AA7A-551963F5C12C}"/>
  </bookViews>
  <sheets>
    <sheet name="Sheet1" sheetId="1" r:id="rId1"/>
  </sheets>
  <definedNames>
    <definedName name="_xlchart.v1.0" hidden="1">Sheet1!$F$2:$F$31</definedName>
    <definedName name="_xlchart.v1.1" hidden="1">Sheet1!$G$1</definedName>
    <definedName name="_xlchart.v1.10" hidden="1">Sheet1!$G$1</definedName>
    <definedName name="_xlchart.v1.11" hidden="1">Sheet1!$G$2:$G$31</definedName>
    <definedName name="_xlchart.v1.12" hidden="1">Sheet1!$F$2:$F$31</definedName>
    <definedName name="_xlchart.v1.13" hidden="1">Sheet1!$G$1</definedName>
    <definedName name="_xlchart.v1.14" hidden="1">Sheet1!$G$2:$G$31</definedName>
    <definedName name="_xlchart.v1.15" hidden="1">Sheet1!$F$2:$F$31</definedName>
    <definedName name="_xlchart.v1.16" hidden="1">Sheet1!$G$1</definedName>
    <definedName name="_xlchart.v1.17" hidden="1">Sheet1!$G$2:$G$31</definedName>
    <definedName name="_xlchart.v1.18" hidden="1">Sheet1!$F$2:$F$31</definedName>
    <definedName name="_xlchart.v1.19" hidden="1">Sheet1!$G$1</definedName>
    <definedName name="_xlchart.v1.2" hidden="1">Sheet1!$G$2:$G$31</definedName>
    <definedName name="_xlchart.v1.20" hidden="1">Sheet1!$G$2:$G$31</definedName>
    <definedName name="_xlchart.v1.21" hidden="1">Sheet1!$F$2:$F$31</definedName>
    <definedName name="_xlchart.v1.22" hidden="1">Sheet1!$G$1</definedName>
    <definedName name="_xlchart.v1.23" hidden="1">Sheet1!$G$2:$G$31</definedName>
    <definedName name="_xlchart.v1.24" hidden="1">Sheet1!$F$2:$F$31</definedName>
    <definedName name="_xlchart.v1.25" hidden="1">Sheet1!$G$1</definedName>
    <definedName name="_xlchart.v1.26" hidden="1">Sheet1!$G$2:$G$31</definedName>
    <definedName name="_xlchart.v1.3" hidden="1">Sheet1!$F$2:$F$31</definedName>
    <definedName name="_xlchart.v1.4" hidden="1">Sheet1!$G$1</definedName>
    <definedName name="_xlchart.v1.5" hidden="1">Sheet1!$G$2:$G$31</definedName>
    <definedName name="_xlchart.v1.6" hidden="1">Sheet1!$F$2:$F$31</definedName>
    <definedName name="_xlchart.v1.7" hidden="1">Sheet1!$G$1</definedName>
    <definedName name="_xlchart.v1.8" hidden="1">Sheet1!$G$2:$G$31</definedName>
    <definedName name="_xlchart.v1.9" hidden="1">Sheet1!$F$2:$F$31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7" i="1"/>
  <c r="C60" i="1"/>
  <c r="C59" i="1"/>
  <c r="G17" i="1"/>
  <c r="H17" i="1" s="1"/>
  <c r="G5" i="1"/>
  <c r="H5" i="1" s="1"/>
  <c r="G28" i="1"/>
  <c r="H28" i="1" s="1"/>
  <c r="G14" i="1"/>
  <c r="H14" i="1" s="1"/>
  <c r="G18" i="1"/>
  <c r="H18" i="1" s="1"/>
  <c r="G30" i="1"/>
  <c r="H30" i="1" s="1"/>
  <c r="G8" i="1"/>
  <c r="H8" i="1" s="1"/>
  <c r="G21" i="1"/>
  <c r="H21" i="1" s="1"/>
  <c r="G2" i="1"/>
  <c r="H2" i="1" s="1"/>
  <c r="G25" i="1"/>
  <c r="H25" i="1" s="1"/>
  <c r="G12" i="1"/>
  <c r="H12" i="1" s="1"/>
  <c r="G15" i="1"/>
  <c r="H15" i="1" s="1"/>
  <c r="G23" i="1"/>
  <c r="H23" i="1" s="1"/>
  <c r="G7" i="1"/>
  <c r="H7" i="1" s="1"/>
  <c r="G31" i="1"/>
  <c r="H31" i="1" s="1"/>
  <c r="G13" i="1"/>
  <c r="H13" i="1" s="1"/>
  <c r="G19" i="1"/>
  <c r="H19" i="1" s="1"/>
  <c r="G26" i="1"/>
  <c r="H26" i="1" s="1"/>
  <c r="G3" i="1"/>
  <c r="H3" i="1" s="1"/>
  <c r="G22" i="1"/>
  <c r="H22" i="1" s="1"/>
  <c r="G11" i="1"/>
  <c r="H11" i="1" s="1"/>
  <c r="G29" i="1"/>
  <c r="H29" i="1" s="1"/>
  <c r="G6" i="1"/>
  <c r="H6" i="1" s="1"/>
  <c r="G20" i="1"/>
  <c r="H20" i="1" s="1"/>
  <c r="G24" i="1"/>
  <c r="H24" i="1" s="1"/>
  <c r="G9" i="1"/>
  <c r="H9" i="1" s="1"/>
  <c r="G27" i="1"/>
  <c r="H27" i="1" s="1"/>
  <c r="G4" i="1"/>
  <c r="H4" i="1" s="1"/>
  <c r="G16" i="1"/>
  <c r="H16" i="1" s="1"/>
  <c r="G10" i="1"/>
  <c r="H10" i="1" s="1"/>
  <c r="F17" i="1"/>
  <c r="F5" i="1"/>
  <c r="F28" i="1"/>
  <c r="F14" i="1"/>
  <c r="F18" i="1"/>
  <c r="F30" i="1"/>
  <c r="F8" i="1"/>
  <c r="F21" i="1"/>
  <c r="F2" i="1"/>
  <c r="F25" i="1"/>
  <c r="F12" i="1"/>
  <c r="F15" i="1"/>
  <c r="F23" i="1"/>
  <c r="F7" i="1"/>
  <c r="F31" i="1"/>
  <c r="F13" i="1"/>
  <c r="F19" i="1"/>
  <c r="F26" i="1"/>
  <c r="F3" i="1"/>
  <c r="F22" i="1"/>
  <c r="F11" i="1"/>
  <c r="F29" i="1"/>
  <c r="F6" i="1"/>
  <c r="F20" i="1"/>
  <c r="F24" i="1"/>
  <c r="F9" i="1"/>
  <c r="F27" i="1"/>
  <c r="F4" i="1"/>
  <c r="F16" i="1"/>
  <c r="F10" i="1"/>
</calcChain>
</file>

<file path=xl/sharedStrings.xml><?xml version="1.0" encoding="utf-8"?>
<sst xmlns="http://schemas.openxmlformats.org/spreadsheetml/2006/main" count="44" uniqueCount="43">
  <si>
    <t>Student ID</t>
  </si>
  <si>
    <t xml:space="preserve">English </t>
  </si>
  <si>
    <t xml:space="preserve">Maths </t>
  </si>
  <si>
    <t xml:space="preserve">Science </t>
  </si>
  <si>
    <t xml:space="preserve">Total </t>
  </si>
  <si>
    <t xml:space="preserve">Average </t>
  </si>
  <si>
    <t>Grade</t>
  </si>
  <si>
    <t>Name</t>
  </si>
  <si>
    <t>Aarav Sharma</t>
  </si>
  <si>
    <t>Priya Patel</t>
  </si>
  <si>
    <t>Rahul Verma</t>
  </si>
  <si>
    <t>Sneha Kapoor</t>
  </si>
  <si>
    <t>Arjun Mehta</t>
  </si>
  <si>
    <t>Kavya Nair</t>
  </si>
  <si>
    <t>Rohan Singh</t>
  </si>
  <si>
    <t>Ananya Gupta</t>
  </si>
  <si>
    <t>Vivek Joshi</t>
  </si>
  <si>
    <t>Neha Yadav</t>
  </si>
  <si>
    <t>Aditya Roy</t>
  </si>
  <si>
    <t>Pooja Shah</t>
  </si>
  <si>
    <t>Karan Malhotra</t>
  </si>
  <si>
    <t>Isha Desai</t>
  </si>
  <si>
    <t>Aman Choudhary</t>
  </si>
  <si>
    <t>Riya Kulkarni</t>
  </si>
  <si>
    <t>Siddharth Jain</t>
  </si>
  <si>
    <t>Meera Iyer</t>
  </si>
  <si>
    <t>Yash Thakur</t>
  </si>
  <si>
    <t>Simran Kaur</t>
  </si>
  <si>
    <t>Dev Patel</t>
  </si>
  <si>
    <t>Nisha Reddy</t>
  </si>
  <si>
    <t>Harsh Vyas</t>
  </si>
  <si>
    <t>Tanvi Mishra</t>
  </si>
  <si>
    <t>Manav Arora</t>
  </si>
  <si>
    <t>Aditi Saxena</t>
  </si>
  <si>
    <t>Krish Pandey</t>
  </si>
  <si>
    <t>Muskan Soni</t>
  </si>
  <si>
    <t>Laksh Agarwal</t>
  </si>
  <si>
    <t>Diya Bhatt</t>
  </si>
  <si>
    <t>A</t>
  </si>
  <si>
    <t>B</t>
  </si>
  <si>
    <t>C</t>
  </si>
  <si>
    <t>Fail</t>
  </si>
  <si>
    <t xml:space="preserve">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</si>
</sst>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Sheet1!$B$2:$B$31</c:f>
              <c:strCache>
                <c:ptCount val="30"/>
                <c:pt idx="0">
                  <c:v>Neha Yadav</c:v>
                </c:pt>
                <c:pt idx="1">
                  <c:v>Simran Kaur</c:v>
                </c:pt>
                <c:pt idx="2">
                  <c:v>Laksh Agarwal</c:v>
                </c:pt>
                <c:pt idx="3">
                  <c:v>Rahul Verma</c:v>
                </c:pt>
                <c:pt idx="4">
                  <c:v>Tanvi Mishra</c:v>
                </c:pt>
                <c:pt idx="5">
                  <c:v>Aman Choudhary</c:v>
                </c:pt>
                <c:pt idx="6">
                  <c:v>Ananya Gupta</c:v>
                </c:pt>
                <c:pt idx="7">
                  <c:v>Krish Pandey</c:v>
                </c:pt>
                <c:pt idx="8">
                  <c:v>Aarav Sharma</c:v>
                </c:pt>
                <c:pt idx="9">
                  <c:v>Nisha Reddy</c:v>
                </c:pt>
                <c:pt idx="10">
                  <c:v>Pooja Shah</c:v>
                </c:pt>
                <c:pt idx="11">
                  <c:v>Siddharth Jain</c:v>
                </c:pt>
                <c:pt idx="12">
                  <c:v>Arjun Mehta</c:v>
                </c:pt>
                <c:pt idx="13">
                  <c:v>Karan Malhotra</c:v>
                </c:pt>
                <c:pt idx="14">
                  <c:v>Diya Bhatt</c:v>
                </c:pt>
                <c:pt idx="15">
                  <c:v>Priya Patel</c:v>
                </c:pt>
                <c:pt idx="16">
                  <c:v>Kavya Nair</c:v>
                </c:pt>
                <c:pt idx="17">
                  <c:v>Meera Iyer</c:v>
                </c:pt>
                <c:pt idx="18">
                  <c:v>Manav Arora</c:v>
                </c:pt>
                <c:pt idx="19">
                  <c:v>Vivek Joshi</c:v>
                </c:pt>
                <c:pt idx="20">
                  <c:v>Dev Patel</c:v>
                </c:pt>
                <c:pt idx="21">
                  <c:v>Isha Desai</c:v>
                </c:pt>
                <c:pt idx="22">
                  <c:v>Aditi Saxena</c:v>
                </c:pt>
                <c:pt idx="23">
                  <c:v>Aditya Roy</c:v>
                </c:pt>
                <c:pt idx="24">
                  <c:v>Yash Thakur</c:v>
                </c:pt>
                <c:pt idx="25">
                  <c:v>Muskan Soni</c:v>
                </c:pt>
                <c:pt idx="26">
                  <c:v>Sneha Kapoor</c:v>
                </c:pt>
                <c:pt idx="27">
                  <c:v>Harsh Vyas</c:v>
                </c:pt>
                <c:pt idx="28">
                  <c:v>Rohan Singh</c:v>
                </c:pt>
                <c:pt idx="29">
                  <c:v>Riya Kulkarni</c:v>
                </c:pt>
              </c:strCache>
            </c:strRef>
          </c:cat>
          <c:val>
            <c:numRef>
              <c:f>Sheet1!$F$2:$F$31</c:f>
              <c:numCache>
                <c:formatCode>General</c:formatCode>
                <c:ptCount val="30"/>
                <c:pt idx="0">
                  <c:v>287</c:v>
                </c:pt>
                <c:pt idx="1">
                  <c:v>286</c:v>
                </c:pt>
                <c:pt idx="2">
                  <c:v>279</c:v>
                </c:pt>
                <c:pt idx="3">
                  <c:v>276</c:v>
                </c:pt>
                <c:pt idx="4">
                  <c:v>271</c:v>
                </c:pt>
                <c:pt idx="5">
                  <c:v>267</c:v>
                </c:pt>
                <c:pt idx="6">
                  <c:v>265</c:v>
                </c:pt>
                <c:pt idx="7">
                  <c:v>258</c:v>
                </c:pt>
                <c:pt idx="8">
                  <c:v>253</c:v>
                </c:pt>
                <c:pt idx="9">
                  <c:v>248</c:v>
                </c:pt>
                <c:pt idx="10">
                  <c:v>245</c:v>
                </c:pt>
                <c:pt idx="11">
                  <c:v>245</c:v>
                </c:pt>
                <c:pt idx="12">
                  <c:v>241</c:v>
                </c:pt>
                <c:pt idx="13">
                  <c:v>230</c:v>
                </c:pt>
                <c:pt idx="14">
                  <c:v>227</c:v>
                </c:pt>
                <c:pt idx="15">
                  <c:v>223</c:v>
                </c:pt>
                <c:pt idx="16">
                  <c:v>220</c:v>
                </c:pt>
                <c:pt idx="17">
                  <c:v>220</c:v>
                </c:pt>
                <c:pt idx="18">
                  <c:v>214</c:v>
                </c:pt>
                <c:pt idx="19">
                  <c:v>212</c:v>
                </c:pt>
                <c:pt idx="20">
                  <c:v>210</c:v>
                </c:pt>
                <c:pt idx="21">
                  <c:v>207</c:v>
                </c:pt>
                <c:pt idx="22">
                  <c:v>194</c:v>
                </c:pt>
                <c:pt idx="23">
                  <c:v>184</c:v>
                </c:pt>
                <c:pt idx="24">
                  <c:v>177</c:v>
                </c:pt>
                <c:pt idx="25">
                  <c:v>177</c:v>
                </c:pt>
                <c:pt idx="26">
                  <c:v>173</c:v>
                </c:pt>
                <c:pt idx="27">
                  <c:v>168</c:v>
                </c:pt>
                <c:pt idx="28">
                  <c:v>136</c:v>
                </c:pt>
                <c:pt idx="29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A-5F41-B127-B855F2D37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15686016"/>
        <c:axId val="2015675712"/>
      </c:barChart>
      <c:catAx>
        <c:axId val="201568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675712"/>
        <c:crosses val="autoZero"/>
        <c:auto val="1"/>
        <c:lblAlgn val="ctr"/>
        <c:lblOffset val="100"/>
        <c:noMultiLvlLbl val="0"/>
      </c:catAx>
      <c:valAx>
        <c:axId val="2015675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56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Grade Distribution.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Sheet1!$C$55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5F-B745-8BD1-AE9387EA79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5F-B745-8BD1-AE9387EA79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5F-B745-8BD1-AE9387EA79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5F-B745-8BD1-AE9387EA79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5F-B745-8BD1-AE9387EA79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Sheet1!$B$56:$B$60</c:f>
              <c:strCache>
                <c:ptCount val="5"/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Fail</c:v>
                </c:pt>
              </c:strCache>
            </c:strRef>
          </c:cat>
          <c:val>
            <c:numRef>
              <c:f>Sheet1!$C$56:$C$60</c:f>
              <c:numCache>
                <c:formatCode>General</c:formatCode>
                <c:ptCount val="5"/>
                <c:pt idx="1">
                  <c:v>5</c:v>
                </c:pt>
                <c:pt idx="2">
                  <c:v>10</c:v>
                </c:pt>
                <c:pt idx="3">
                  <c:v>13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5-5C4D-87C2-C25BA36C3B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Average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600" b="1" i="0" u="none" strike="noStrike" kern="1200" cap="none" spc="100" normalizeH="0" baseline="0" noProof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</a:rPr>
            <a:t>Average </a:t>
          </a:r>
        </a:p>
      </cx:txPr>
    </cx:title>
    <cx:plotArea>
      <cx:plotAreaRegion>
        <cx:series layoutId="treemap" uniqueId="{58231A8A-6942-3C47-9CA9-E1DE70D26A03}">
          <cx:tx>
            <cx:txData>
              <cx:f>_xlchart.v1.16</cx:f>
              <cx:v>Average 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32</xdr:row>
      <xdr:rowOff>25400</xdr:rowOff>
    </xdr:from>
    <xdr:to>
      <xdr:col>9</xdr:col>
      <xdr:colOff>546100</xdr:colOff>
      <xdr:row>47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131DA5-7954-4A52-6513-A080CD06C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87400</xdr:colOff>
      <xdr:row>49</xdr:row>
      <xdr:rowOff>38100</xdr:rowOff>
    </xdr:from>
    <xdr:to>
      <xdr:col>9</xdr:col>
      <xdr:colOff>444500</xdr:colOff>
      <xdr:row>64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710F3BD-083B-FDEB-2ADD-4826BAFE9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65</xdr:row>
      <xdr:rowOff>63500</xdr:rowOff>
    </xdr:from>
    <xdr:to>
      <xdr:col>9</xdr:col>
      <xdr:colOff>495300</xdr:colOff>
      <xdr:row>81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1915ED0-2E2D-A71E-C1A0-3C570D9084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3271500"/>
              <a:ext cx="6299200" cy="336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3D-AFDD-714F-AAA3-F303D71D7D26}">
  <dimension ref="A1:O60"/>
  <sheetViews>
    <sheetView tabSelected="1" zoomScale="57" zoomScaleNormal="200" workbookViewId="0">
      <selection activeCell="F1" sqref="F1:G31"/>
    </sheetView>
  </sheetViews>
  <sheetFormatPr baseColWidth="10" defaultRowHeight="16" x14ac:dyDescent="0.2"/>
  <cols>
    <col min="1" max="1" width="9.83203125" bestFit="1" customWidth="1"/>
    <col min="2" max="2" width="15" bestFit="1" customWidth="1"/>
    <col min="3" max="3" width="7.5" bestFit="1" customWidth="1"/>
    <col min="4" max="4" width="6.83203125" bestFit="1" customWidth="1"/>
    <col min="5" max="5" width="7.83203125" bestFit="1" customWidth="1"/>
    <col min="6" max="6" width="5.83203125" bestFit="1" customWidth="1"/>
    <col min="7" max="7" width="6.5" customWidth="1"/>
    <col min="8" max="8" width="6.1640625" bestFit="1" customWidth="1"/>
  </cols>
  <sheetData>
    <row r="1" spans="1:15" s="2" customFormat="1" x14ac:dyDescent="0.2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15" x14ac:dyDescent="0.2">
      <c r="A2" s="4">
        <v>20270</v>
      </c>
      <c r="B2" s="4" t="s">
        <v>17</v>
      </c>
      <c r="C2" s="4">
        <v>95</v>
      </c>
      <c r="D2" s="4">
        <v>98</v>
      </c>
      <c r="E2" s="4">
        <v>94</v>
      </c>
      <c r="F2" s="4">
        <f t="shared" ref="F2:F31" si="0">SUM(C2+D2+E2)</f>
        <v>287</v>
      </c>
      <c r="G2" s="4">
        <f t="shared" ref="G2:G31" si="1">AVERAGE(C2:E2)</f>
        <v>95.666666666666671</v>
      </c>
      <c r="H2" s="4" t="str">
        <f t="shared" ref="H2:H31" si="2">IF(G2&gt;=90,"A",IF(G2&gt;=75,"B",IF(G2&gt;=50,"C","Fail")))</f>
        <v>A</v>
      </c>
    </row>
    <row r="3" spans="1:15" x14ac:dyDescent="0.2">
      <c r="A3" s="4">
        <v>20280</v>
      </c>
      <c r="B3" s="4" t="s">
        <v>27</v>
      </c>
      <c r="C3" s="4">
        <v>97</v>
      </c>
      <c r="D3" s="4">
        <v>93</v>
      </c>
      <c r="E3" s="4">
        <v>96</v>
      </c>
      <c r="F3" s="4">
        <f t="shared" si="0"/>
        <v>286</v>
      </c>
      <c r="G3" s="4">
        <f t="shared" si="1"/>
        <v>95.333333333333329</v>
      </c>
      <c r="H3" s="4" t="str">
        <f t="shared" si="2"/>
        <v>A</v>
      </c>
      <c r="L3" s="1"/>
      <c r="M3" s="1"/>
      <c r="N3" s="1"/>
      <c r="O3" s="1"/>
    </row>
    <row r="4" spans="1:15" x14ac:dyDescent="0.2">
      <c r="A4" s="4">
        <v>20289</v>
      </c>
      <c r="B4" s="4" t="s">
        <v>36</v>
      </c>
      <c r="C4" s="4">
        <v>93</v>
      </c>
      <c r="D4" s="4">
        <v>95</v>
      </c>
      <c r="E4" s="4">
        <v>91</v>
      </c>
      <c r="F4" s="4">
        <f t="shared" si="0"/>
        <v>279</v>
      </c>
      <c r="G4" s="4">
        <f t="shared" si="1"/>
        <v>93</v>
      </c>
      <c r="H4" s="4" t="str">
        <f t="shared" si="2"/>
        <v>A</v>
      </c>
    </row>
    <row r="5" spans="1:15" x14ac:dyDescent="0.2">
      <c r="A5" s="4">
        <v>20263</v>
      </c>
      <c r="B5" s="4" t="s">
        <v>10</v>
      </c>
      <c r="C5" s="4">
        <v>92</v>
      </c>
      <c r="D5" s="4">
        <v>89</v>
      </c>
      <c r="E5" s="4">
        <v>95</v>
      </c>
      <c r="F5" s="4">
        <f t="shared" si="0"/>
        <v>276</v>
      </c>
      <c r="G5" s="4">
        <f t="shared" si="1"/>
        <v>92</v>
      </c>
      <c r="H5" s="4" t="str">
        <f t="shared" si="2"/>
        <v>A</v>
      </c>
    </row>
    <row r="6" spans="1:15" x14ac:dyDescent="0.2">
      <c r="A6" s="4">
        <v>20284</v>
      </c>
      <c r="B6" s="4" t="s">
        <v>31</v>
      </c>
      <c r="C6" s="4">
        <v>89</v>
      </c>
      <c r="D6" s="4">
        <v>92</v>
      </c>
      <c r="E6" s="4">
        <v>90</v>
      </c>
      <c r="F6" s="4">
        <f t="shared" si="0"/>
        <v>271</v>
      </c>
      <c r="G6" s="4">
        <f t="shared" si="1"/>
        <v>90.333333333333329</v>
      </c>
      <c r="H6" s="4" t="str">
        <f t="shared" si="2"/>
        <v>A</v>
      </c>
    </row>
    <row r="7" spans="1:15" x14ac:dyDescent="0.2">
      <c r="A7" s="4">
        <v>20275</v>
      </c>
      <c r="B7" s="4" t="s">
        <v>22</v>
      </c>
      <c r="C7" s="4">
        <v>91</v>
      </c>
      <c r="D7" s="4">
        <v>87</v>
      </c>
      <c r="E7" s="4">
        <v>89</v>
      </c>
      <c r="F7" s="4">
        <f t="shared" si="0"/>
        <v>267</v>
      </c>
      <c r="G7" s="4">
        <f t="shared" si="1"/>
        <v>89</v>
      </c>
      <c r="H7" s="4" t="str">
        <f t="shared" si="2"/>
        <v>B</v>
      </c>
    </row>
    <row r="8" spans="1:15" x14ac:dyDescent="0.2">
      <c r="A8" s="4">
        <v>20268</v>
      </c>
      <c r="B8" s="4" t="s">
        <v>15</v>
      </c>
      <c r="C8" s="4">
        <v>88</v>
      </c>
      <c r="D8" s="4">
        <v>91</v>
      </c>
      <c r="E8" s="4">
        <v>86</v>
      </c>
      <c r="F8" s="4">
        <f t="shared" si="0"/>
        <v>265</v>
      </c>
      <c r="G8" s="4">
        <f t="shared" si="1"/>
        <v>88.333333333333329</v>
      </c>
      <c r="H8" s="4" t="str">
        <f t="shared" si="2"/>
        <v>B</v>
      </c>
    </row>
    <row r="9" spans="1:15" x14ac:dyDescent="0.2">
      <c r="A9" s="4">
        <v>20287</v>
      </c>
      <c r="B9" s="4" t="s">
        <v>34</v>
      </c>
      <c r="C9" s="4">
        <v>86</v>
      </c>
      <c r="D9" s="4">
        <v>88</v>
      </c>
      <c r="E9" s="4">
        <v>84</v>
      </c>
      <c r="F9" s="4">
        <f t="shared" si="0"/>
        <v>258</v>
      </c>
      <c r="G9" s="4">
        <f t="shared" si="1"/>
        <v>86</v>
      </c>
      <c r="H9" s="4" t="str">
        <f t="shared" si="2"/>
        <v>B</v>
      </c>
    </row>
    <row r="10" spans="1:15" x14ac:dyDescent="0.2">
      <c r="A10" s="4">
        <v>20261</v>
      </c>
      <c r="B10" s="4" t="s">
        <v>8</v>
      </c>
      <c r="C10" s="4">
        <v>78</v>
      </c>
      <c r="D10" s="4">
        <v>85</v>
      </c>
      <c r="E10" s="4">
        <v>90</v>
      </c>
      <c r="F10" s="4">
        <f t="shared" si="0"/>
        <v>253</v>
      </c>
      <c r="G10" s="4">
        <f t="shared" si="1"/>
        <v>84.333333333333329</v>
      </c>
      <c r="H10" s="4" t="str">
        <f t="shared" si="2"/>
        <v>B</v>
      </c>
    </row>
    <row r="11" spans="1:15" x14ac:dyDescent="0.2">
      <c r="A11" s="4">
        <v>20282</v>
      </c>
      <c r="B11" s="4" t="s">
        <v>29</v>
      </c>
      <c r="C11" s="4">
        <v>80</v>
      </c>
      <c r="D11" s="4">
        <v>83</v>
      </c>
      <c r="E11" s="4">
        <v>85</v>
      </c>
      <c r="F11" s="4">
        <f t="shared" si="0"/>
        <v>248</v>
      </c>
      <c r="G11" s="4">
        <f t="shared" si="1"/>
        <v>82.666666666666671</v>
      </c>
      <c r="H11" s="4" t="str">
        <f t="shared" si="2"/>
        <v>B</v>
      </c>
    </row>
    <row r="12" spans="1:15" x14ac:dyDescent="0.2">
      <c r="A12" s="4">
        <v>20272</v>
      </c>
      <c r="B12" s="4" t="s">
        <v>19</v>
      </c>
      <c r="C12" s="4">
        <v>84</v>
      </c>
      <c r="D12" s="4">
        <v>79</v>
      </c>
      <c r="E12" s="4">
        <v>82</v>
      </c>
      <c r="F12" s="4">
        <f t="shared" si="0"/>
        <v>245</v>
      </c>
      <c r="G12" s="4">
        <f t="shared" si="1"/>
        <v>81.666666666666671</v>
      </c>
      <c r="H12" s="4" t="str">
        <f t="shared" si="2"/>
        <v>B</v>
      </c>
    </row>
    <row r="13" spans="1:15" x14ac:dyDescent="0.2">
      <c r="A13" s="4">
        <v>20277</v>
      </c>
      <c r="B13" s="4" t="s">
        <v>24</v>
      </c>
      <c r="C13" s="4">
        <v>82</v>
      </c>
      <c r="D13" s="4">
        <v>85</v>
      </c>
      <c r="E13" s="4">
        <v>78</v>
      </c>
      <c r="F13" s="4">
        <f t="shared" si="0"/>
        <v>245</v>
      </c>
      <c r="G13" s="4">
        <f t="shared" si="1"/>
        <v>81.666666666666671</v>
      </c>
      <c r="H13" s="4" t="str">
        <f t="shared" si="2"/>
        <v>B</v>
      </c>
    </row>
    <row r="14" spans="1:15" x14ac:dyDescent="0.2">
      <c r="A14" s="4">
        <v>20265</v>
      </c>
      <c r="B14" s="4" t="s">
        <v>12</v>
      </c>
      <c r="C14" s="4">
        <v>81</v>
      </c>
      <c r="D14" s="4">
        <v>76</v>
      </c>
      <c r="E14" s="4">
        <v>84</v>
      </c>
      <c r="F14" s="4">
        <f t="shared" si="0"/>
        <v>241</v>
      </c>
      <c r="G14" s="4">
        <f t="shared" si="1"/>
        <v>80.333333333333329</v>
      </c>
      <c r="H14" s="4" t="str">
        <f t="shared" si="2"/>
        <v>B</v>
      </c>
    </row>
    <row r="15" spans="1:15" x14ac:dyDescent="0.2">
      <c r="A15" s="4">
        <v>20273</v>
      </c>
      <c r="B15" s="4" t="s">
        <v>20</v>
      </c>
      <c r="C15" s="4">
        <v>77</v>
      </c>
      <c r="D15" s="4">
        <v>73</v>
      </c>
      <c r="E15" s="4">
        <v>80</v>
      </c>
      <c r="F15" s="4">
        <f t="shared" si="0"/>
        <v>230</v>
      </c>
      <c r="G15" s="4">
        <f t="shared" si="1"/>
        <v>76.666666666666671</v>
      </c>
      <c r="H15" s="4" t="str">
        <f t="shared" si="2"/>
        <v>B</v>
      </c>
    </row>
    <row r="16" spans="1:15" x14ac:dyDescent="0.2">
      <c r="A16" s="4">
        <v>20290</v>
      </c>
      <c r="B16" s="4" t="s">
        <v>37</v>
      </c>
      <c r="C16" s="4">
        <v>76</v>
      </c>
      <c r="D16" s="4">
        <v>78</v>
      </c>
      <c r="E16" s="4">
        <v>73</v>
      </c>
      <c r="F16" s="4">
        <f t="shared" si="0"/>
        <v>227</v>
      </c>
      <c r="G16" s="4">
        <f t="shared" si="1"/>
        <v>75.666666666666671</v>
      </c>
      <c r="H16" s="4" t="str">
        <f t="shared" si="2"/>
        <v>B</v>
      </c>
    </row>
    <row r="17" spans="1:8" x14ac:dyDescent="0.2">
      <c r="A17" s="4">
        <v>20262</v>
      </c>
      <c r="B17" s="4" t="s">
        <v>9</v>
      </c>
      <c r="C17" s="4">
        <v>65</v>
      </c>
      <c r="D17" s="4">
        <v>70</v>
      </c>
      <c r="E17" s="4">
        <v>88</v>
      </c>
      <c r="F17" s="4">
        <f t="shared" si="0"/>
        <v>223</v>
      </c>
      <c r="G17" s="4">
        <f t="shared" si="1"/>
        <v>74.333333333333329</v>
      </c>
      <c r="H17" s="4" t="str">
        <f t="shared" si="2"/>
        <v>C</v>
      </c>
    </row>
    <row r="18" spans="1:8" x14ac:dyDescent="0.2">
      <c r="A18" s="4">
        <v>20266</v>
      </c>
      <c r="B18" s="4" t="s">
        <v>13</v>
      </c>
      <c r="C18" s="4">
        <v>73</v>
      </c>
      <c r="D18" s="4">
        <v>68</v>
      </c>
      <c r="E18" s="4">
        <v>79</v>
      </c>
      <c r="F18" s="4">
        <f t="shared" si="0"/>
        <v>220</v>
      </c>
      <c r="G18" s="4">
        <f t="shared" si="1"/>
        <v>73.333333333333329</v>
      </c>
      <c r="H18" s="4" t="str">
        <f t="shared" si="2"/>
        <v>C</v>
      </c>
    </row>
    <row r="19" spans="1:8" x14ac:dyDescent="0.2">
      <c r="A19" s="4">
        <v>20278</v>
      </c>
      <c r="B19" s="4" t="s">
        <v>25</v>
      </c>
      <c r="C19" s="4">
        <v>74</v>
      </c>
      <c r="D19" s="4">
        <v>70</v>
      </c>
      <c r="E19" s="4">
        <v>76</v>
      </c>
      <c r="F19" s="4">
        <f t="shared" si="0"/>
        <v>220</v>
      </c>
      <c r="G19" s="4">
        <f t="shared" si="1"/>
        <v>73.333333333333329</v>
      </c>
      <c r="H19" s="4" t="str">
        <f t="shared" si="2"/>
        <v>C</v>
      </c>
    </row>
    <row r="20" spans="1:8" x14ac:dyDescent="0.2">
      <c r="A20" s="4">
        <v>20285</v>
      </c>
      <c r="B20" s="4" t="s">
        <v>32</v>
      </c>
      <c r="C20" s="4">
        <v>71</v>
      </c>
      <c r="D20" s="4">
        <v>69</v>
      </c>
      <c r="E20" s="4">
        <v>74</v>
      </c>
      <c r="F20" s="4">
        <f t="shared" si="0"/>
        <v>214</v>
      </c>
      <c r="G20" s="4">
        <f t="shared" si="1"/>
        <v>71.333333333333329</v>
      </c>
      <c r="H20" s="4" t="str">
        <f t="shared" si="2"/>
        <v>C</v>
      </c>
    </row>
    <row r="21" spans="1:8" x14ac:dyDescent="0.2">
      <c r="A21" s="4">
        <v>20269</v>
      </c>
      <c r="B21" s="4" t="s">
        <v>16</v>
      </c>
      <c r="C21" s="4">
        <v>67</v>
      </c>
      <c r="D21" s="4">
        <v>74</v>
      </c>
      <c r="E21" s="4">
        <v>71</v>
      </c>
      <c r="F21" s="4">
        <f t="shared" si="0"/>
        <v>212</v>
      </c>
      <c r="G21" s="4">
        <f t="shared" si="1"/>
        <v>70.666666666666671</v>
      </c>
      <c r="H21" s="4" t="str">
        <f t="shared" si="2"/>
        <v>C</v>
      </c>
    </row>
    <row r="22" spans="1:8" x14ac:dyDescent="0.2">
      <c r="A22" s="4">
        <v>20281</v>
      </c>
      <c r="B22" s="4" t="s">
        <v>28</v>
      </c>
      <c r="C22" s="4">
        <v>68</v>
      </c>
      <c r="D22" s="4">
        <v>72</v>
      </c>
      <c r="E22" s="4">
        <v>70</v>
      </c>
      <c r="F22" s="4">
        <f t="shared" si="0"/>
        <v>210</v>
      </c>
      <c r="G22" s="4">
        <f t="shared" si="1"/>
        <v>70</v>
      </c>
      <c r="H22" s="4" t="str">
        <f t="shared" si="2"/>
        <v>C</v>
      </c>
    </row>
    <row r="23" spans="1:8" x14ac:dyDescent="0.2">
      <c r="A23" s="4">
        <v>20274</v>
      </c>
      <c r="B23" s="4" t="s">
        <v>21</v>
      </c>
      <c r="C23" s="4">
        <v>69</v>
      </c>
      <c r="D23" s="4">
        <v>66</v>
      </c>
      <c r="E23" s="4">
        <v>72</v>
      </c>
      <c r="F23" s="4">
        <f t="shared" si="0"/>
        <v>207</v>
      </c>
      <c r="G23" s="4">
        <f t="shared" si="1"/>
        <v>69</v>
      </c>
      <c r="H23" s="4" t="str">
        <f t="shared" si="2"/>
        <v>C</v>
      </c>
    </row>
    <row r="24" spans="1:8" x14ac:dyDescent="0.2">
      <c r="A24" s="4">
        <v>20286</v>
      </c>
      <c r="B24" s="4" t="s">
        <v>33</v>
      </c>
      <c r="C24" s="4">
        <v>64</v>
      </c>
      <c r="D24" s="4">
        <v>67</v>
      </c>
      <c r="E24" s="4">
        <v>63</v>
      </c>
      <c r="F24" s="4">
        <f t="shared" si="0"/>
        <v>194</v>
      </c>
      <c r="G24" s="4">
        <f t="shared" si="1"/>
        <v>64.666666666666671</v>
      </c>
      <c r="H24" s="4" t="str">
        <f t="shared" si="2"/>
        <v>C</v>
      </c>
    </row>
    <row r="25" spans="1:8" x14ac:dyDescent="0.2">
      <c r="A25" s="4">
        <v>20271</v>
      </c>
      <c r="B25" s="4" t="s">
        <v>18</v>
      </c>
      <c r="C25" s="4">
        <v>58</v>
      </c>
      <c r="D25" s="4">
        <v>62</v>
      </c>
      <c r="E25" s="4">
        <v>64</v>
      </c>
      <c r="F25" s="4">
        <f t="shared" si="0"/>
        <v>184</v>
      </c>
      <c r="G25" s="4">
        <f t="shared" si="1"/>
        <v>61.333333333333336</v>
      </c>
      <c r="H25" s="4" t="str">
        <f t="shared" si="2"/>
        <v>C</v>
      </c>
    </row>
    <row r="26" spans="1:8" x14ac:dyDescent="0.2">
      <c r="A26" s="4">
        <v>20279</v>
      </c>
      <c r="B26" s="4" t="s">
        <v>26</v>
      </c>
      <c r="C26" s="4">
        <v>59</v>
      </c>
      <c r="D26" s="4">
        <v>61</v>
      </c>
      <c r="E26" s="4">
        <v>57</v>
      </c>
      <c r="F26" s="4">
        <f t="shared" si="0"/>
        <v>177</v>
      </c>
      <c r="G26" s="4">
        <f t="shared" si="1"/>
        <v>59</v>
      </c>
      <c r="H26" s="4" t="str">
        <f t="shared" si="2"/>
        <v>C</v>
      </c>
    </row>
    <row r="27" spans="1:8" x14ac:dyDescent="0.2">
      <c r="A27" s="4">
        <v>20288</v>
      </c>
      <c r="B27" s="4" t="s">
        <v>35</v>
      </c>
      <c r="C27" s="4">
        <v>57</v>
      </c>
      <c r="D27" s="4">
        <v>59</v>
      </c>
      <c r="E27" s="4">
        <v>61</v>
      </c>
      <c r="F27" s="4">
        <f t="shared" si="0"/>
        <v>177</v>
      </c>
      <c r="G27" s="4">
        <f t="shared" si="1"/>
        <v>59</v>
      </c>
      <c r="H27" s="4" t="str">
        <f t="shared" si="2"/>
        <v>C</v>
      </c>
    </row>
    <row r="28" spans="1:8" x14ac:dyDescent="0.2">
      <c r="A28" s="4">
        <v>20264</v>
      </c>
      <c r="B28" s="4" t="s">
        <v>11</v>
      </c>
      <c r="C28" s="4">
        <v>55</v>
      </c>
      <c r="D28" s="4">
        <v>60</v>
      </c>
      <c r="E28" s="4">
        <v>58</v>
      </c>
      <c r="F28" s="4">
        <f t="shared" si="0"/>
        <v>173</v>
      </c>
      <c r="G28" s="4">
        <f t="shared" si="1"/>
        <v>57.666666666666664</v>
      </c>
      <c r="H28" s="4" t="str">
        <f t="shared" si="2"/>
        <v>C</v>
      </c>
    </row>
    <row r="29" spans="1:8" x14ac:dyDescent="0.2">
      <c r="A29" s="4">
        <v>20283</v>
      </c>
      <c r="B29" s="4" t="s">
        <v>30</v>
      </c>
      <c r="C29" s="4">
        <v>53</v>
      </c>
      <c r="D29" s="4">
        <v>55</v>
      </c>
      <c r="E29" s="4">
        <v>60</v>
      </c>
      <c r="F29" s="4">
        <f t="shared" si="0"/>
        <v>168</v>
      </c>
      <c r="G29" s="4">
        <f t="shared" si="1"/>
        <v>56</v>
      </c>
      <c r="H29" s="4" t="str">
        <f t="shared" si="2"/>
        <v>C</v>
      </c>
    </row>
    <row r="30" spans="1:8" x14ac:dyDescent="0.2">
      <c r="A30" s="4">
        <v>20267</v>
      </c>
      <c r="B30" s="4" t="s">
        <v>14</v>
      </c>
      <c r="C30" s="4">
        <v>49</v>
      </c>
      <c r="D30" s="4">
        <v>52</v>
      </c>
      <c r="E30" s="4">
        <v>35</v>
      </c>
      <c r="F30" s="4">
        <f t="shared" si="0"/>
        <v>136</v>
      </c>
      <c r="G30" s="4">
        <f t="shared" si="1"/>
        <v>45.333333333333336</v>
      </c>
      <c r="H30" s="4" t="str">
        <f t="shared" si="2"/>
        <v>Fail</v>
      </c>
    </row>
    <row r="31" spans="1:8" x14ac:dyDescent="0.2">
      <c r="A31" s="4">
        <v>20276</v>
      </c>
      <c r="B31" s="4" t="s">
        <v>23</v>
      </c>
      <c r="C31" s="4">
        <v>45</v>
      </c>
      <c r="D31" s="4">
        <v>50</v>
      </c>
      <c r="E31" s="4">
        <v>48</v>
      </c>
      <c r="F31" s="4">
        <f t="shared" si="0"/>
        <v>143</v>
      </c>
      <c r="G31" s="4">
        <f t="shared" si="1"/>
        <v>47.666666666666664</v>
      </c>
      <c r="H31" s="4" t="str">
        <f t="shared" si="2"/>
        <v>Fail</v>
      </c>
    </row>
    <row r="55" spans="2:3" x14ac:dyDescent="0.2">
      <c r="B55" t="s">
        <v>6</v>
      </c>
      <c r="C55" t="s">
        <v>42</v>
      </c>
    </row>
    <row r="57" spans="2:3" x14ac:dyDescent="0.2">
      <c r="B57" t="s">
        <v>38</v>
      </c>
      <c r="C57">
        <f>COUNTIF(H:H,"A")</f>
        <v>5</v>
      </c>
    </row>
    <row r="58" spans="2:3" x14ac:dyDescent="0.2">
      <c r="B58" t="s">
        <v>39</v>
      </c>
      <c r="C58">
        <f>COUNTIF(H:H,"B")</f>
        <v>10</v>
      </c>
    </row>
    <row r="59" spans="2:3" x14ac:dyDescent="0.2">
      <c r="B59" t="s">
        <v>40</v>
      </c>
      <c r="C59">
        <f>COUNTIF(H:H,"C")</f>
        <v>13</v>
      </c>
    </row>
    <row r="60" spans="2:3" x14ac:dyDescent="0.2">
      <c r="B60" t="s">
        <v>41</v>
      </c>
      <c r="C60">
        <f>COUNTIF(H:H,"Fail")</f>
        <v>2</v>
      </c>
    </row>
  </sheetData>
  <sortState xmlns:xlrd2="http://schemas.microsoft.com/office/spreadsheetml/2017/richdata2" ref="A2:H31">
    <sortCondition descending="1" ref="G2:G31"/>
  </sortState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H1:H1048576">
    <cfRule type="containsText" dxfId="0" priority="3" operator="containsText" text="Fail">
      <formula>NOT(ISERROR(SEARCH("Fail",H1)))</formula>
    </cfRule>
  </conditionalFormatting>
  <pageMargins left="0.25" right="0.25" top="0.75" bottom="0.75" header="0.3" footer="0.3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Maurya</dc:creator>
  <cp:lastModifiedBy>Ayush Maurya</cp:lastModifiedBy>
  <cp:lastPrinted>2026-05-11T01:17:55Z</cp:lastPrinted>
  <dcterms:created xsi:type="dcterms:W3CDTF">2026-05-10T23:53:04Z</dcterms:created>
  <dcterms:modified xsi:type="dcterms:W3CDTF">2026-05-11T01:24:49Z</dcterms:modified>
</cp:coreProperties>
</file>